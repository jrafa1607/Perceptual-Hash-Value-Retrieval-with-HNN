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BDF14B08-CA8F-4AAE-8569-6B3B0365B3F9}" xr6:coauthVersionLast="47" xr6:coauthVersionMax="47" xr10:uidLastSave="{00000000-0000-0000-0000-000000000000}"/>
  <bookViews>
    <workbookView xWindow="20370" yWindow="-120" windowWidth="29040" windowHeight="15840" tabRatio="757" activeTab="5" xr2:uid="{00000000-000D-0000-FFFF-FFFF00000000}"/>
  </bookViews>
  <sheets>
    <sheet name="Lenna" sheetId="2" r:id="rId1"/>
    <sheet name="Washington" sheetId="3" r:id="rId2"/>
    <sheet name="Palace" sheetId="6" r:id="rId3"/>
    <sheet name="Mountain" sheetId="5" r:id="rId4"/>
    <sheet name="ParkDatabase" sheetId="7" r:id="rId5"/>
    <sheet name="Results" sheetId="8" r:id="rId6"/>
  </sheets>
  <externalReferences>
    <externalReference r:id="rId7"/>
  </externalReferences>
  <definedNames>
    <definedName name="_xlnm._FilterDatabase" localSheetId="0" hidden="1">Lenna!$A$2:$A$2</definedName>
    <definedName name="_xlnm._FilterDatabase" localSheetId="3" hidden="1">Mountain!$A$2:$D$31</definedName>
    <definedName name="_xlnm._FilterDatabase" localSheetId="2" hidden="1">Palace!$A$2:$E$2</definedName>
    <definedName name="_xlnm._FilterDatabase" localSheetId="4" hidden="1">ParkDatabase!$A$2:$E$12</definedName>
    <definedName name="_xlnm._FilterDatabase" localSheetId="1" hidden="1">Washington!$A$2:$A$2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7" l="1"/>
  <c r="D11" i="7"/>
  <c r="D10" i="7"/>
  <c r="D9" i="7"/>
  <c r="D8" i="7"/>
  <c r="D7" i="7"/>
  <c r="D6" i="7"/>
  <c r="D5" i="7"/>
  <c r="D4" i="7"/>
  <c r="D3" i="7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8" i="3"/>
  <c r="D7" i="3"/>
  <c r="D6" i="3"/>
  <c r="D5" i="3"/>
  <c r="D4" i="3"/>
  <c r="D3" i="3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C11" i="8"/>
  <c r="C12" i="8" s="1"/>
  <c r="B11" i="8"/>
  <c r="B12" i="8" s="1"/>
</calcChain>
</file>

<file path=xl/sharedStrings.xml><?xml version="1.0" encoding="utf-8"?>
<sst xmlns="http://schemas.openxmlformats.org/spreadsheetml/2006/main" count="330" uniqueCount="121">
  <si>
    <t>D-Hash</t>
  </si>
  <si>
    <t>D.Hashing</t>
  </si>
  <si>
    <t>7670795b33135a38</t>
  </si>
  <si>
    <t>Bordas Enfatizadas</t>
  </si>
  <si>
    <t>6470795b33135a38</t>
  </si>
  <si>
    <t>Filtro de Gaussiana3x3</t>
  </si>
  <si>
    <t>Filtro de Gaussiana7x7</t>
  </si>
  <si>
    <t>Adição de Texto</t>
  </si>
  <si>
    <t>Imagem em Bmp</t>
  </si>
  <si>
    <t>Imagem em Png</t>
  </si>
  <si>
    <t>Imagem em Tiff</t>
  </si>
  <si>
    <t>Pouca alteração</t>
  </si>
  <si>
    <t>Muita alteração</t>
  </si>
  <si>
    <t>7e30795b33135a38</t>
  </si>
  <si>
    <t>Metade Alterada</t>
  </si>
  <si>
    <t>7670795b12000000</t>
  </si>
  <si>
    <t>Filtro de Média3x3</t>
  </si>
  <si>
    <t>Filtro de Média7x7</t>
  </si>
  <si>
    <t>Filtro de Mediana3x3</t>
  </si>
  <si>
    <t>Filtro de Mediana7x7</t>
  </si>
  <si>
    <t>Ruído Sal e Pimenta</t>
  </si>
  <si>
    <t>7670795b33131a38</t>
  </si>
  <si>
    <t>Binarização com OTSU</t>
  </si>
  <si>
    <t>6474695b33131a38</t>
  </si>
  <si>
    <t>Efeito Espelho</t>
  </si>
  <si>
    <t>91f161253337a5e3</t>
  </si>
  <si>
    <t>Escala de Cinza</t>
  </si>
  <si>
    <t>Adição de Objetos</t>
  </si>
  <si>
    <t>7431c9cb33135a38</t>
  </si>
  <si>
    <t>d3d85833daeab5a9</t>
  </si>
  <si>
    <t>Fig02_WashingtonDC_Band2</t>
  </si>
  <si>
    <t>d6d85a73f8a2b5a9</t>
  </si>
  <si>
    <t>Fig03_WashingtonDC_Band3</t>
  </si>
  <si>
    <t>d7d85a73f8a2b5a9</t>
  </si>
  <si>
    <t>Fig04_WashingtonDC_Band4</t>
  </si>
  <si>
    <t>2cad290c0f4f494d</t>
  </si>
  <si>
    <t>Fig05_WashingtonDC_Band5</t>
  </si>
  <si>
    <t>44dc79395bca8949</t>
  </si>
  <si>
    <t>Fig06_WashingtonDC_Band6</t>
  </si>
  <si>
    <t>d7d858315aeaa0a9</t>
  </si>
  <si>
    <t>Fig07_WashingtonDC_Band7</t>
  </si>
  <si>
    <t>d6d85833daea88a9</t>
  </si>
  <si>
    <t>Lenna Database</t>
  </si>
  <si>
    <t>402416531b191a1f</t>
  </si>
  <si>
    <t>Mountain Database</t>
  </si>
  <si>
    <t>402416531b191a1b</t>
  </si>
  <si>
    <t>402416531b391a1b</t>
  </si>
  <si>
    <t>002416531b399a3e</t>
  </si>
  <si>
    <t>412416531b391a3f</t>
  </si>
  <si>
    <t>002416531b391e3f</t>
  </si>
  <si>
    <t>002436531b391a3f</t>
  </si>
  <si>
    <t>002416531b399a3a</t>
  </si>
  <si>
    <t>402416531b391a3f</t>
  </si>
  <si>
    <t>Palace Database</t>
  </si>
  <si>
    <t>e6ce8e991c149694</t>
  </si>
  <si>
    <t>e6ce8e993c149694</t>
  </si>
  <si>
    <t>e6ce8e9938149694</t>
  </si>
  <si>
    <t>e6ce8e9918149694</t>
  </si>
  <si>
    <t>e6ce8e891c149694</t>
  </si>
  <si>
    <t>e6ce8e893c149694</t>
  </si>
  <si>
    <t>e6ce8e8918149694</t>
  </si>
  <si>
    <t>eecede9d3e7cb6b6</t>
  </si>
  <si>
    <t>eecede9d3e7cb6b4</t>
  </si>
  <si>
    <t>e6cece9d3c7cf6b6</t>
  </si>
  <si>
    <t>e6cede9d3e7cf6b6</t>
  </si>
  <si>
    <t>eecede9d3c7cf6b6</t>
  </si>
  <si>
    <t>e6cedc9d3c7cb6b6</t>
  </si>
  <si>
    <t>Park Database</t>
  </si>
  <si>
    <t>4659d98bcbcb9639</t>
  </si>
  <si>
    <t>4659d98bcbcb9e39</t>
  </si>
  <si>
    <t>4659d98b8b8b9a39</t>
  </si>
  <si>
    <t>4659d98b8b8b9839</t>
  </si>
  <si>
    <t>HNN</t>
  </si>
  <si>
    <t>HNN Result</t>
  </si>
  <si>
    <t>e6g059131c111518</t>
  </si>
  <si>
    <t>Hamming Distance</t>
  </si>
  <si>
    <t>Washington Database</t>
  </si>
  <si>
    <t>Alternative (1)</t>
  </si>
  <si>
    <t>Alternative (2)</t>
  </si>
  <si>
    <t>Alternative (3)</t>
  </si>
  <si>
    <t>Alternative (4)</t>
  </si>
  <si>
    <t>Alternative (5)</t>
  </si>
  <si>
    <t>Alternative (6)</t>
  </si>
  <si>
    <t>Alternative (7)</t>
  </si>
  <si>
    <t>Alternative (8)</t>
  </si>
  <si>
    <t>Alternative (9)</t>
  </si>
  <si>
    <t>Alternative (10)</t>
  </si>
  <si>
    <t>Alternative (11)</t>
  </si>
  <si>
    <t>Alternative (12)</t>
  </si>
  <si>
    <t>Alternative (13)</t>
  </si>
  <si>
    <t>Alternative (14)</t>
  </si>
  <si>
    <t>Alternative (15)</t>
  </si>
  <si>
    <t>Alternative (16)</t>
  </si>
  <si>
    <t>Alternative (17)</t>
  </si>
  <si>
    <t>Alternative (18)</t>
  </si>
  <si>
    <t>Alternative (19)</t>
  </si>
  <si>
    <t>Alternative (20)</t>
  </si>
  <si>
    <t>Alternative (21)</t>
  </si>
  <si>
    <t>Alternative (22)</t>
  </si>
  <si>
    <t>Alternative (23)</t>
  </si>
  <si>
    <t>Alternative (24)</t>
  </si>
  <si>
    <t>Alternative (25)</t>
  </si>
  <si>
    <t>Alternative (26)</t>
  </si>
  <si>
    <t>Alternative (27)</t>
  </si>
  <si>
    <t>Alternative (28)</t>
  </si>
  <si>
    <t>Alternative (29)</t>
  </si>
  <si>
    <t>Alternative (30)</t>
  </si>
  <si>
    <t>Total</t>
  </si>
  <si>
    <t>Total %</t>
  </si>
  <si>
    <t>Original</t>
  </si>
  <si>
    <t>Image Database</t>
  </si>
  <si>
    <t>Training</t>
  </si>
  <si>
    <t>Failure</t>
  </si>
  <si>
    <t>Success</t>
  </si>
  <si>
    <t>Lenna</t>
  </si>
  <si>
    <t>Washington</t>
  </si>
  <si>
    <t>Palace</t>
  </si>
  <si>
    <t>Mountain</t>
  </si>
  <si>
    <t>Park</t>
  </si>
  <si>
    <t>Test</t>
  </si>
  <si>
    <t>Total Images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</si>
</sst>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35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left"/>
    </xf>
    <xf numFmtId="0" fontId="0" fillId="3" borderId="1" xfId="0" applyFill="1" applyBorder="1"/>
    <xf numFmtId="49" fontId="0" fillId="3" borderId="1" xfId="0" applyNumberFormat="1" applyFill="1" applyBorder="1"/>
    <xf numFmtId="49" fontId="0" fillId="4" borderId="1" xfId="0" applyNumberFormat="1" applyFill="1" applyBorder="1"/>
    <xf numFmtId="0" fontId="0" fillId="0" borderId="0" xfId="0" applyAlignment="1">
      <alignment horizontal="center"/>
    </xf>
    <xf numFmtId="0" fontId="0" fillId="4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10" fontId="3" fillId="5" borderId="1" xfId="1" applyNumberFormat="1" applyBorder="1" applyAlignment="1">
      <alignment horizontal="center"/>
    </xf>
    <xf numFmtId="10" fontId="4" fillId="6" borderId="1" xfId="2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4" borderId="1" xfId="0" applyFill="1" applyBorder="1" applyAlignment="1">
      <alignment vertical="center"/>
    </xf>
    <xf numFmtId="49" fontId="0" fillId="0" borderId="1" xfId="0" applyNumberFormat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49" fontId="0" fillId="0" borderId="1" xfId="0" applyNumberFormat="1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/>
              <a:t>Perceptual Hash Value Retrieval for Image Forensics: A Hopfield Neural Network Application</a:t>
            </a:r>
          </a:p>
        </c:rich>
      </c:tx>
      <c:layout>
        <c:manualLayout>
          <c:xMode val="edge"/>
          <c:yMode val="edge"/>
          <c:x val="0.15063407296820233"/>
          <c:y val="3.636363636363636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3380577427821522"/>
          <c:y val="0.17171296296296298"/>
          <c:w val="0.72561652497077378"/>
          <c:h val="0.6196139545056867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Results!$B$4</c:f>
              <c:strCache>
                <c:ptCount val="1"/>
                <c:pt idx="0">
                  <c:v>Success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Results!$A$5:$A$9</c:f>
              <c:strCache>
                <c:ptCount val="5"/>
                <c:pt idx="0">
                  <c:v>Lenna Database</c:v>
                </c:pt>
                <c:pt idx="1">
                  <c:v>Mountain Database</c:v>
                </c:pt>
                <c:pt idx="2">
                  <c:v>Palace Database</c:v>
                </c:pt>
                <c:pt idx="3">
                  <c:v>Park Database</c:v>
                </c:pt>
                <c:pt idx="4">
                  <c:v>Washington Database</c:v>
                </c:pt>
              </c:strCache>
            </c:strRef>
          </c:cat>
          <c:val>
            <c:numRef>
              <c:f>Results!$B$5:$B$9</c:f>
              <c:numCache>
                <c:formatCode>General</c:formatCode>
                <c:ptCount val="5"/>
                <c:pt idx="0">
                  <c:v>18</c:v>
                </c:pt>
                <c:pt idx="1">
                  <c:v>29</c:v>
                </c:pt>
                <c:pt idx="2">
                  <c:v>23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2B-42E3-90F7-4CB2DEF693EC}"/>
            </c:ext>
          </c:extLst>
        </c:ser>
        <c:ser>
          <c:idx val="1"/>
          <c:order val="1"/>
          <c:tx>
            <c:strRef>
              <c:f>Results!$C$4</c:f>
              <c:strCache>
                <c:ptCount val="1"/>
                <c:pt idx="0">
                  <c:v>Failure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2B-42E3-90F7-4CB2DEF693E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2B-42E3-90F7-4CB2DEF69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Results!$A$5:$A$9</c:f>
              <c:strCache>
                <c:ptCount val="5"/>
                <c:pt idx="0">
                  <c:v>Lenna Database</c:v>
                </c:pt>
                <c:pt idx="1">
                  <c:v>Mountain Database</c:v>
                </c:pt>
                <c:pt idx="2">
                  <c:v>Palace Database</c:v>
                </c:pt>
                <c:pt idx="3">
                  <c:v>Park Database</c:v>
                </c:pt>
                <c:pt idx="4">
                  <c:v>Washington Database</c:v>
                </c:pt>
              </c:strCache>
            </c:strRef>
          </c:cat>
          <c:val>
            <c:numRef>
              <c:f>Results!$C$5:$C$9</c:f>
              <c:numCache>
                <c:formatCode>General</c:formatCode>
                <c:ptCount val="5"/>
                <c:pt idx="0">
                  <c:v>1</c:v>
                </c:pt>
                <c:pt idx="1">
                  <c:v>0</c:v>
                </c:pt>
                <c:pt idx="2">
                  <c:v>7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2B-42E3-90F7-4CB2DEF693E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074489888"/>
        <c:axId val="1074490368"/>
      </c:barChart>
      <c:catAx>
        <c:axId val="1074489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490368"/>
        <c:crosses val="autoZero"/>
        <c:auto val="1"/>
        <c:lblAlgn val="ctr"/>
        <c:lblOffset val="100"/>
        <c:noMultiLvlLbl val="0"/>
      </c:catAx>
      <c:valAx>
        <c:axId val="107449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74489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180975</xdr:colOff>
      <xdr:row>0</xdr:row>
      <xdr:rowOff>142875</xdr:rowOff>
    </xdr:from>
    <xdr:to>
      <xdr:col>16</xdr:col>
      <xdr:colOff>600074</xdr:colOff>
      <xdr:row>17</xdr:row>
      <xdr:rowOff>47625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1B1644A-F413-4626-8990-FEF77CAAB4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ownloads\-%20Resultados.xlsx" TargetMode="External"/><Relationship Id="rId1" Type="http://schemas.openxmlformats.org/officeDocument/2006/relationships/externalLinkPath" Target="-%20Resultad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lts"/>
    </sheetNames>
    <sheetDataSet>
      <sheetData sheetId="0">
        <row r="4">
          <cell r="B4" t="str">
            <v>HNN - Acerto</v>
          </cell>
          <cell r="C4" t="str">
            <v>HNN - Erro</v>
          </cell>
        </row>
        <row r="5">
          <cell r="A5" t="str">
            <v>Lenna Database</v>
          </cell>
          <cell r="B5">
            <v>18</v>
          </cell>
          <cell r="C5">
            <v>1</v>
          </cell>
        </row>
        <row r="6">
          <cell r="A6" t="str">
            <v>Mountain Database</v>
          </cell>
          <cell r="B6">
            <v>29</v>
          </cell>
          <cell r="C6">
            <v>0</v>
          </cell>
        </row>
        <row r="7">
          <cell r="A7" t="str">
            <v>Palace Database</v>
          </cell>
          <cell r="B7">
            <v>23</v>
          </cell>
          <cell r="C7">
            <v>7</v>
          </cell>
        </row>
        <row r="8">
          <cell r="A8" t="str">
            <v>Park Database</v>
          </cell>
          <cell r="B8">
            <v>10</v>
          </cell>
          <cell r="C8">
            <v>0</v>
          </cell>
        </row>
        <row r="9">
          <cell r="A9" t="str">
            <v>Washington Database</v>
          </cell>
          <cell r="B9">
            <v>4</v>
          </cell>
          <cell r="C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E2B2-76FB-47EE-8B9A-ECDEE071B7A7}">
  <dimension ref="A1:E21"/>
  <sheetViews>
    <sheetView zoomScaleNormal="100" workbookViewId="0">
      <selection activeCell="I11" sqref="I11"/>
    </sheetView>
  </sheetViews>
  <sheetFormatPr defaultRowHeight="15" x14ac:dyDescent="0.25"/>
  <cols>
    <col min="1" max="1" width="22.42578125" customWidth="1"/>
    <col min="2" max="5" width="20" customWidth="1"/>
  </cols>
  <sheetData>
    <row r="1" spans="1:5" x14ac:dyDescent="0.25">
      <c r="A1" s="2" t="s">
        <v>109</v>
      </c>
      <c r="B1" s="22" t="s">
        <v>2</v>
      </c>
      <c r="C1" s="23"/>
      <c r="D1" s="23"/>
      <c r="E1" s="23"/>
    </row>
    <row r="2" spans="1:5" x14ac:dyDescent="0.25">
      <c r="A2" s="1" t="s">
        <v>114</v>
      </c>
      <c r="B2" s="15" t="s">
        <v>0</v>
      </c>
      <c r="C2" s="15" t="s">
        <v>72</v>
      </c>
      <c r="D2" s="15" t="s">
        <v>73</v>
      </c>
      <c r="E2" s="15" t="s">
        <v>75</v>
      </c>
    </row>
    <row r="3" spans="1:5" x14ac:dyDescent="0.25">
      <c r="A3" s="3" t="s">
        <v>3</v>
      </c>
      <c r="B3" s="9" t="s">
        <v>4</v>
      </c>
      <c r="C3" s="9" t="s">
        <v>2</v>
      </c>
      <c r="D3" s="9" t="str">
        <f>IF(C3=$B$1,"Success","Failure")</f>
        <v>Success</v>
      </c>
      <c r="E3" s="9">
        <v>2</v>
      </c>
    </row>
    <row r="4" spans="1:5" x14ac:dyDescent="0.25">
      <c r="A4" s="4" t="s">
        <v>5</v>
      </c>
      <c r="B4" s="26" t="s">
        <v>2</v>
      </c>
      <c r="C4" s="9" t="s">
        <v>2</v>
      </c>
      <c r="D4" s="9" t="str">
        <f>IF(C4=$B$1,"Success","Failure")</f>
        <v>Success</v>
      </c>
      <c r="E4" s="9">
        <v>0</v>
      </c>
    </row>
    <row r="5" spans="1:5" x14ac:dyDescent="0.25">
      <c r="A5" s="4" t="s">
        <v>6</v>
      </c>
      <c r="B5" s="26" t="s">
        <v>2</v>
      </c>
      <c r="C5" s="9" t="s">
        <v>2</v>
      </c>
      <c r="D5" s="9" t="str">
        <f>IF(C5=$B$1,"Success","Failure")</f>
        <v>Success</v>
      </c>
      <c r="E5" s="9">
        <v>0</v>
      </c>
    </row>
    <row r="6" spans="1:5" x14ac:dyDescent="0.25">
      <c r="A6" s="4" t="s">
        <v>7</v>
      </c>
      <c r="B6" s="9" t="s">
        <v>2</v>
      </c>
      <c r="C6" s="9" t="s">
        <v>2</v>
      </c>
      <c r="D6" s="9" t="str">
        <f>IF(C6=$B$1,"Success","Failure")</f>
        <v>Success</v>
      </c>
      <c r="E6" s="9">
        <v>0</v>
      </c>
    </row>
    <row r="7" spans="1:5" x14ac:dyDescent="0.25">
      <c r="A7" s="4" t="s">
        <v>8</v>
      </c>
      <c r="B7" s="9" t="s">
        <v>2</v>
      </c>
      <c r="C7" s="9" t="s">
        <v>2</v>
      </c>
      <c r="D7" s="9" t="str">
        <f>IF(C7=$B$1,"Success","Failure")</f>
        <v>Success</v>
      </c>
      <c r="E7" s="9">
        <v>0</v>
      </c>
    </row>
    <row r="8" spans="1:5" x14ac:dyDescent="0.25">
      <c r="A8" s="4" t="s">
        <v>9</v>
      </c>
      <c r="B8" s="9" t="s">
        <v>2</v>
      </c>
      <c r="C8" s="9" t="s">
        <v>2</v>
      </c>
      <c r="D8" s="9" t="str">
        <f>IF(C8=$B$1,"Success","Failure")</f>
        <v>Success</v>
      </c>
      <c r="E8" s="9">
        <v>0</v>
      </c>
    </row>
    <row r="9" spans="1:5" x14ac:dyDescent="0.25">
      <c r="A9" s="4" t="s">
        <v>10</v>
      </c>
      <c r="B9" s="9" t="s">
        <v>2</v>
      </c>
      <c r="C9" s="9" t="s">
        <v>2</v>
      </c>
      <c r="D9" s="9" t="str">
        <f>IF(C9=$B$1,"Success","Failure")</f>
        <v>Success</v>
      </c>
      <c r="E9" s="9">
        <v>0</v>
      </c>
    </row>
    <row r="10" spans="1:5" x14ac:dyDescent="0.25">
      <c r="A10" s="4" t="s">
        <v>11</v>
      </c>
      <c r="B10" s="9" t="s">
        <v>2</v>
      </c>
      <c r="C10" s="9" t="s">
        <v>2</v>
      </c>
      <c r="D10" s="9" t="str">
        <f>IF(C10=$B$1,"Success","Failure")</f>
        <v>Success</v>
      </c>
      <c r="E10" s="9">
        <v>0</v>
      </c>
    </row>
    <row r="11" spans="1:5" x14ac:dyDescent="0.25">
      <c r="A11" s="4" t="s">
        <v>12</v>
      </c>
      <c r="B11" s="27" t="s">
        <v>13</v>
      </c>
      <c r="C11" s="9" t="s">
        <v>2</v>
      </c>
      <c r="D11" s="9" t="str">
        <f>IF(C11=$B$1,"Success","Failure")</f>
        <v>Success</v>
      </c>
      <c r="E11" s="9">
        <v>2</v>
      </c>
    </row>
    <row r="12" spans="1:5" x14ac:dyDescent="0.25">
      <c r="A12" s="4" t="s">
        <v>14</v>
      </c>
      <c r="B12" s="9" t="s">
        <v>15</v>
      </c>
      <c r="C12" s="9" t="s">
        <v>2</v>
      </c>
      <c r="D12" s="9" t="str">
        <f>IF(C12=$B$1,"Success","Failure")</f>
        <v>Success</v>
      </c>
      <c r="E12" s="9">
        <v>8</v>
      </c>
    </row>
    <row r="13" spans="1:5" x14ac:dyDescent="0.25">
      <c r="A13" s="4" t="s">
        <v>16</v>
      </c>
      <c r="B13" s="9" t="s">
        <v>2</v>
      </c>
      <c r="C13" s="9" t="s">
        <v>2</v>
      </c>
      <c r="D13" s="9" t="str">
        <f>IF(C13=$B$1,"Success","Failure")</f>
        <v>Success</v>
      </c>
      <c r="E13" s="9">
        <v>0</v>
      </c>
    </row>
    <row r="14" spans="1:5" x14ac:dyDescent="0.25">
      <c r="A14" s="4" t="s">
        <v>17</v>
      </c>
      <c r="B14" s="9" t="s">
        <v>2</v>
      </c>
      <c r="C14" s="9" t="s">
        <v>2</v>
      </c>
      <c r="D14" s="9" t="str">
        <f>IF(C14=$B$1,"Success","Failure")</f>
        <v>Success</v>
      </c>
      <c r="E14" s="9">
        <v>0</v>
      </c>
    </row>
    <row r="15" spans="1:5" x14ac:dyDescent="0.25">
      <c r="A15" s="4" t="s">
        <v>18</v>
      </c>
      <c r="B15" s="9" t="s">
        <v>2</v>
      </c>
      <c r="C15" s="9" t="s">
        <v>2</v>
      </c>
      <c r="D15" s="9" t="str">
        <f>IF(C15=$B$1,"Success","Failure")</f>
        <v>Success</v>
      </c>
      <c r="E15" s="9">
        <v>0</v>
      </c>
    </row>
    <row r="16" spans="1:5" x14ac:dyDescent="0.25">
      <c r="A16" s="4" t="s">
        <v>19</v>
      </c>
      <c r="B16" s="9" t="s">
        <v>2</v>
      </c>
      <c r="C16" s="9" t="s">
        <v>2</v>
      </c>
      <c r="D16" s="9" t="str">
        <f>IF(C16=$B$1,"Success","Failure")</f>
        <v>Success</v>
      </c>
      <c r="E16" s="9">
        <v>0</v>
      </c>
    </row>
    <row r="17" spans="1:5" x14ac:dyDescent="0.25">
      <c r="A17" s="4" t="s">
        <v>20</v>
      </c>
      <c r="B17" s="9" t="s">
        <v>21</v>
      </c>
      <c r="C17" s="9" t="s">
        <v>2</v>
      </c>
      <c r="D17" s="9" t="str">
        <f>IF(C17=$B$1,"Success","Failure")</f>
        <v>Success</v>
      </c>
      <c r="E17" s="9">
        <v>1</v>
      </c>
    </row>
    <row r="18" spans="1:5" x14ac:dyDescent="0.25">
      <c r="A18" s="4" t="s">
        <v>22</v>
      </c>
      <c r="B18" s="9" t="s">
        <v>23</v>
      </c>
      <c r="C18" s="9" t="s">
        <v>2</v>
      </c>
      <c r="D18" s="9" t="str">
        <f>IF(C18=$B$1,"Success","Failure")</f>
        <v>Success</v>
      </c>
      <c r="E18" s="9">
        <v>5</v>
      </c>
    </row>
    <row r="19" spans="1:5" x14ac:dyDescent="0.25">
      <c r="A19" s="5" t="s">
        <v>24</v>
      </c>
      <c r="B19" s="10" t="s">
        <v>25</v>
      </c>
      <c r="C19" s="10" t="s">
        <v>74</v>
      </c>
      <c r="D19" s="10" t="str">
        <f>IF(C19=$B$1,"Success","Failure")</f>
        <v>Failure</v>
      </c>
      <c r="E19" s="10">
        <v>14</v>
      </c>
    </row>
    <row r="20" spans="1:5" x14ac:dyDescent="0.25">
      <c r="A20" s="4" t="s">
        <v>26</v>
      </c>
      <c r="B20" s="9" t="s">
        <v>2</v>
      </c>
      <c r="C20" s="9" t="s">
        <v>2</v>
      </c>
      <c r="D20" s="9" t="str">
        <f>IF(C20=$B$1,"Success","Failure")</f>
        <v>Success</v>
      </c>
      <c r="E20" s="9">
        <v>0</v>
      </c>
    </row>
    <row r="21" spans="1:5" x14ac:dyDescent="0.25">
      <c r="A21" s="4" t="s">
        <v>27</v>
      </c>
      <c r="B21" s="9" t="s">
        <v>28</v>
      </c>
      <c r="C21" s="9" t="s">
        <v>2</v>
      </c>
      <c r="D21" s="9" t="str">
        <f>IF(C21=$B$1,"Success","Failure")</f>
        <v>Success</v>
      </c>
      <c r="E21" s="9">
        <v>5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35164-966C-4B99-9EC3-82759FDF3491}">
  <dimension ref="A1:E8"/>
  <sheetViews>
    <sheetView zoomScaleNormal="100" workbookViewId="0">
      <selection activeCell="E11" sqref="E11"/>
    </sheetView>
  </sheetViews>
  <sheetFormatPr defaultRowHeight="15" x14ac:dyDescent="0.25"/>
  <cols>
    <col min="1" max="1" width="43.7109375" bestFit="1" customWidth="1"/>
    <col min="2" max="5" width="19.85546875" customWidth="1"/>
  </cols>
  <sheetData>
    <row r="1" spans="1:5" x14ac:dyDescent="0.25">
      <c r="A1" s="2" t="s">
        <v>109</v>
      </c>
      <c r="B1" s="22" t="s">
        <v>29</v>
      </c>
      <c r="C1" s="23"/>
      <c r="D1" s="23"/>
      <c r="E1" s="23"/>
    </row>
    <row r="2" spans="1:5" x14ac:dyDescent="0.25">
      <c r="A2" s="1" t="s">
        <v>115</v>
      </c>
      <c r="B2" s="15" t="s">
        <v>1</v>
      </c>
      <c r="C2" s="15" t="s">
        <v>72</v>
      </c>
      <c r="D2" s="15" t="s">
        <v>73</v>
      </c>
      <c r="E2" s="15" t="s">
        <v>75</v>
      </c>
    </row>
    <row r="3" spans="1:5" x14ac:dyDescent="0.25">
      <c r="A3" s="3" t="s">
        <v>30</v>
      </c>
      <c r="B3" s="9" t="s">
        <v>31</v>
      </c>
      <c r="C3" s="9" t="s">
        <v>29</v>
      </c>
      <c r="D3" s="9" t="str">
        <f>IF(C3=$B$1,"Success","Failure")</f>
        <v>Success</v>
      </c>
      <c r="E3" s="9">
        <v>7</v>
      </c>
    </row>
    <row r="4" spans="1:5" x14ac:dyDescent="0.25">
      <c r="A4" s="3" t="s">
        <v>32</v>
      </c>
      <c r="B4" s="9" t="s">
        <v>33</v>
      </c>
      <c r="C4" s="9" t="s">
        <v>29</v>
      </c>
      <c r="D4" s="9" t="str">
        <f>IF(C4=$B$1,"Success","Failure")</f>
        <v>Success</v>
      </c>
      <c r="E4" s="9">
        <v>7</v>
      </c>
    </row>
    <row r="5" spans="1:5" x14ac:dyDescent="0.25">
      <c r="A5" s="7" t="s">
        <v>34</v>
      </c>
      <c r="B5" s="10" t="s">
        <v>35</v>
      </c>
      <c r="C5" s="10" t="s">
        <v>74</v>
      </c>
      <c r="D5" s="10" t="str">
        <f>IF(C5=$B$1,"Success","Failure")</f>
        <v>Failure</v>
      </c>
      <c r="E5" s="10">
        <v>16</v>
      </c>
    </row>
    <row r="6" spans="1:5" x14ac:dyDescent="0.25">
      <c r="A6" s="7" t="s">
        <v>36</v>
      </c>
      <c r="B6" s="10" t="s">
        <v>37</v>
      </c>
      <c r="C6" s="10" t="s">
        <v>74</v>
      </c>
      <c r="D6" s="10" t="str">
        <f>IF(C6=$B$1,"Success","Failure")</f>
        <v>Failure</v>
      </c>
      <c r="E6" s="10">
        <v>12</v>
      </c>
    </row>
    <row r="7" spans="1:5" x14ac:dyDescent="0.25">
      <c r="A7" s="3" t="s">
        <v>38</v>
      </c>
      <c r="B7" s="9" t="s">
        <v>39</v>
      </c>
      <c r="C7" s="9" t="s">
        <v>29</v>
      </c>
      <c r="D7" s="9" t="str">
        <f>IF(C7=$B$1,"Success","Failure")</f>
        <v>Success</v>
      </c>
      <c r="E7" s="9">
        <v>5</v>
      </c>
    </row>
    <row r="8" spans="1:5" x14ac:dyDescent="0.25">
      <c r="A8" s="3" t="s">
        <v>40</v>
      </c>
      <c r="B8" s="9" t="s">
        <v>41</v>
      </c>
      <c r="C8" s="9" t="s">
        <v>29</v>
      </c>
      <c r="D8" s="9" t="str">
        <f>IF(C8=$B$1,"Success","Failure")</f>
        <v>Success</v>
      </c>
      <c r="E8" s="9">
        <v>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2C3A5-6967-4B84-966A-7CAAAA1E890F}">
  <dimension ref="A1:E32"/>
  <sheetViews>
    <sheetView zoomScaleNormal="100" workbookViewId="0">
      <selection activeCell="H14" sqref="H14"/>
    </sheetView>
  </sheetViews>
  <sheetFormatPr defaultRowHeight="15" x14ac:dyDescent="0.25"/>
  <cols>
    <col min="1" max="1" width="15.7109375" bestFit="1" customWidth="1"/>
    <col min="2" max="5" width="19.85546875" customWidth="1"/>
  </cols>
  <sheetData>
    <row r="1" spans="1:5" x14ac:dyDescent="0.25">
      <c r="A1" s="28" t="s">
        <v>109</v>
      </c>
      <c r="B1" s="29" t="s">
        <v>54</v>
      </c>
      <c r="C1" s="30"/>
      <c r="D1" s="30"/>
      <c r="E1" s="30"/>
    </row>
    <row r="2" spans="1:5" x14ac:dyDescent="0.25">
      <c r="A2" s="24" t="s">
        <v>116</v>
      </c>
      <c r="B2" s="15" t="s">
        <v>0</v>
      </c>
      <c r="C2" s="15" t="s">
        <v>72</v>
      </c>
      <c r="D2" s="15" t="s">
        <v>73</v>
      </c>
      <c r="E2" s="15" t="s">
        <v>75</v>
      </c>
    </row>
    <row r="3" spans="1:5" x14ac:dyDescent="0.25">
      <c r="A3" s="31" t="s">
        <v>77</v>
      </c>
      <c r="B3" s="9" t="s">
        <v>55</v>
      </c>
      <c r="C3" s="9" t="s">
        <v>54</v>
      </c>
      <c r="D3" s="9" t="str">
        <f>IF(C3=$B$1,"Success","Failure")</f>
        <v>Success</v>
      </c>
      <c r="E3" s="9">
        <v>1</v>
      </c>
    </row>
    <row r="4" spans="1:5" x14ac:dyDescent="0.25">
      <c r="A4" s="31" t="s">
        <v>78</v>
      </c>
      <c r="B4" s="26" t="s">
        <v>56</v>
      </c>
      <c r="C4" s="9" t="s">
        <v>54</v>
      </c>
      <c r="D4" s="9" t="str">
        <f>IF(C4=$B$1,"Success","Failure")</f>
        <v>Success</v>
      </c>
      <c r="E4" s="9">
        <v>2</v>
      </c>
    </row>
    <row r="5" spans="1:5" x14ac:dyDescent="0.25">
      <c r="A5" s="31" t="s">
        <v>79</v>
      </c>
      <c r="B5" s="26" t="s">
        <v>57</v>
      </c>
      <c r="C5" s="9" t="s">
        <v>54</v>
      </c>
      <c r="D5" s="9" t="str">
        <f>IF(C5=$B$1,"Success","Failure")</f>
        <v>Success</v>
      </c>
      <c r="E5" s="9">
        <v>1</v>
      </c>
    </row>
    <row r="6" spans="1:5" x14ac:dyDescent="0.25">
      <c r="A6" s="31" t="s">
        <v>80</v>
      </c>
      <c r="B6" s="9" t="s">
        <v>57</v>
      </c>
      <c r="C6" s="9" t="s">
        <v>54</v>
      </c>
      <c r="D6" s="9" t="str">
        <f>IF(C6=$B$1,"Success","Failure")</f>
        <v>Success</v>
      </c>
      <c r="E6" s="9">
        <v>1</v>
      </c>
    </row>
    <row r="7" spans="1:5" x14ac:dyDescent="0.25">
      <c r="A7" s="31" t="s">
        <v>81</v>
      </c>
      <c r="B7" s="9" t="s">
        <v>54</v>
      </c>
      <c r="C7" s="9" t="s">
        <v>54</v>
      </c>
      <c r="D7" s="9" t="str">
        <f>IF(C7=$B$1,"Success","Failure")</f>
        <v>Success</v>
      </c>
      <c r="E7" s="9">
        <v>0</v>
      </c>
    </row>
    <row r="8" spans="1:5" x14ac:dyDescent="0.25">
      <c r="A8" s="31" t="s">
        <v>82</v>
      </c>
      <c r="B8" s="9" t="s">
        <v>58</v>
      </c>
      <c r="C8" s="9" t="s">
        <v>54</v>
      </c>
      <c r="D8" s="9" t="str">
        <f>IF(C8=$B$1,"Success","Failure")</f>
        <v>Success</v>
      </c>
      <c r="E8" s="9">
        <v>1</v>
      </c>
    </row>
    <row r="9" spans="1:5" x14ac:dyDescent="0.25">
      <c r="A9" s="31" t="s">
        <v>83</v>
      </c>
      <c r="B9" s="9" t="s">
        <v>55</v>
      </c>
      <c r="C9" s="9" t="s">
        <v>54</v>
      </c>
      <c r="D9" s="9" t="str">
        <f>IF(C9=$B$1,"Success","Failure")</f>
        <v>Success</v>
      </c>
      <c r="E9" s="9">
        <v>1</v>
      </c>
    </row>
    <row r="10" spans="1:5" x14ac:dyDescent="0.25">
      <c r="A10" s="31" t="s">
        <v>84</v>
      </c>
      <c r="B10" s="9" t="s">
        <v>58</v>
      </c>
      <c r="C10" s="9" t="s">
        <v>54</v>
      </c>
      <c r="D10" s="9" t="str">
        <f>IF(C10=$B$1,"Success","Failure")</f>
        <v>Success</v>
      </c>
      <c r="E10" s="9">
        <v>1</v>
      </c>
    </row>
    <row r="11" spans="1:5" x14ac:dyDescent="0.25">
      <c r="A11" s="31" t="s">
        <v>85</v>
      </c>
      <c r="B11" s="27" t="s">
        <v>54</v>
      </c>
      <c r="C11" s="9" t="s">
        <v>54</v>
      </c>
      <c r="D11" s="9" t="str">
        <f>IF(C11=$B$1,"Success","Failure")</f>
        <v>Success</v>
      </c>
      <c r="E11" s="9">
        <v>0</v>
      </c>
    </row>
    <row r="12" spans="1:5" x14ac:dyDescent="0.25">
      <c r="A12" s="31" t="s">
        <v>86</v>
      </c>
      <c r="B12" s="9" t="s">
        <v>59</v>
      </c>
      <c r="C12" s="9" t="s">
        <v>54</v>
      </c>
      <c r="D12" s="9" t="str">
        <f>IF(C12=$B$1,"Success","Failure")</f>
        <v>Success</v>
      </c>
      <c r="E12" s="9">
        <v>2</v>
      </c>
    </row>
    <row r="13" spans="1:5" x14ac:dyDescent="0.25">
      <c r="A13" s="31" t="s">
        <v>87</v>
      </c>
      <c r="B13" s="26" t="s">
        <v>59</v>
      </c>
      <c r="C13" s="9" t="s">
        <v>54</v>
      </c>
      <c r="D13" s="9" t="str">
        <f>IF(C13=$B$1,"Success","Failure")</f>
        <v>Success</v>
      </c>
      <c r="E13" s="9">
        <v>2</v>
      </c>
    </row>
    <row r="14" spans="1:5" x14ac:dyDescent="0.25">
      <c r="A14" s="31" t="s">
        <v>88</v>
      </c>
      <c r="B14" s="26" t="s">
        <v>55</v>
      </c>
      <c r="C14" s="9" t="s">
        <v>54</v>
      </c>
      <c r="D14" s="9" t="str">
        <f>IF(C14=$B$1,"Success","Failure")</f>
        <v>Success</v>
      </c>
      <c r="E14" s="9">
        <v>1</v>
      </c>
    </row>
    <row r="15" spans="1:5" x14ac:dyDescent="0.25">
      <c r="A15" s="31" t="s">
        <v>89</v>
      </c>
      <c r="B15" s="26" t="s">
        <v>54</v>
      </c>
      <c r="C15" s="9" t="s">
        <v>54</v>
      </c>
      <c r="D15" s="9" t="str">
        <f>IF(C15=$B$1,"Success","Failure")</f>
        <v>Success</v>
      </c>
      <c r="E15" s="9">
        <v>0</v>
      </c>
    </row>
    <row r="16" spans="1:5" x14ac:dyDescent="0.25">
      <c r="A16" s="31" t="s">
        <v>90</v>
      </c>
      <c r="B16" s="26" t="s">
        <v>60</v>
      </c>
      <c r="C16" s="9" t="s">
        <v>54</v>
      </c>
      <c r="D16" s="9" t="str">
        <f>IF(C16=$B$1,"Success","Failure")</f>
        <v>Success</v>
      </c>
      <c r="E16" s="9">
        <v>2</v>
      </c>
    </row>
    <row r="17" spans="1:5" x14ac:dyDescent="0.25">
      <c r="A17" s="31" t="s">
        <v>91</v>
      </c>
      <c r="B17" s="9" t="s">
        <v>57</v>
      </c>
      <c r="C17" s="9" t="s">
        <v>54</v>
      </c>
      <c r="D17" s="9" t="str">
        <f>IF(C17=$B$1,"Success","Failure")</f>
        <v>Success</v>
      </c>
      <c r="E17" s="9">
        <v>1</v>
      </c>
    </row>
    <row r="18" spans="1:5" x14ac:dyDescent="0.25">
      <c r="A18" s="31" t="s">
        <v>92</v>
      </c>
      <c r="B18" s="9" t="s">
        <v>57</v>
      </c>
      <c r="C18" s="9" t="s">
        <v>54</v>
      </c>
      <c r="D18" s="9" t="str">
        <f>IF(C18=$B$1,"Success","Failure")</f>
        <v>Success</v>
      </c>
      <c r="E18" s="9">
        <v>1</v>
      </c>
    </row>
    <row r="19" spans="1:5" x14ac:dyDescent="0.25">
      <c r="A19" s="25" t="s">
        <v>93</v>
      </c>
      <c r="B19" s="10" t="s">
        <v>61</v>
      </c>
      <c r="C19" s="10" t="s">
        <v>74</v>
      </c>
      <c r="D19" s="10" t="str">
        <f>IF(C19=$B$1,"Success","Failure")</f>
        <v>Failure</v>
      </c>
      <c r="E19" s="10">
        <v>10</v>
      </c>
    </row>
    <row r="20" spans="1:5" x14ac:dyDescent="0.25">
      <c r="A20" s="25" t="s">
        <v>94</v>
      </c>
      <c r="B20" s="10" t="s">
        <v>62</v>
      </c>
      <c r="C20" s="10" t="s">
        <v>74</v>
      </c>
      <c r="D20" s="10" t="str">
        <f>IF(C20=$B$1,"Success","Failure")</f>
        <v>Failure</v>
      </c>
      <c r="E20" s="10">
        <v>9</v>
      </c>
    </row>
    <row r="21" spans="1:5" x14ac:dyDescent="0.25">
      <c r="A21" s="25" t="s">
        <v>95</v>
      </c>
      <c r="B21" s="10" t="s">
        <v>61</v>
      </c>
      <c r="C21" s="10" t="s">
        <v>74</v>
      </c>
      <c r="D21" s="10" t="str">
        <f>IF(C21=$B$1,"Success","Failure")</f>
        <v>Failure</v>
      </c>
      <c r="E21" s="10">
        <v>10</v>
      </c>
    </row>
    <row r="22" spans="1:5" x14ac:dyDescent="0.25">
      <c r="A22" s="25" t="s">
        <v>96</v>
      </c>
      <c r="B22" s="10" t="s">
        <v>63</v>
      </c>
      <c r="C22" s="10" t="s">
        <v>74</v>
      </c>
      <c r="D22" s="10" t="str">
        <f>IF(C22=$B$1,"Success","Failure")</f>
        <v>Failure</v>
      </c>
      <c r="E22" s="10">
        <v>8</v>
      </c>
    </row>
    <row r="23" spans="1:5" x14ac:dyDescent="0.25">
      <c r="A23" s="25" t="s">
        <v>97</v>
      </c>
      <c r="B23" s="10" t="s">
        <v>64</v>
      </c>
      <c r="C23" s="10" t="s">
        <v>74</v>
      </c>
      <c r="D23" s="10" t="str">
        <f>IF(C23=$B$1,"Success","Failure")</f>
        <v>Failure</v>
      </c>
      <c r="E23" s="10">
        <v>9</v>
      </c>
    </row>
    <row r="24" spans="1:5" x14ac:dyDescent="0.25">
      <c r="A24" s="25" t="s">
        <v>98</v>
      </c>
      <c r="B24" s="10" t="s">
        <v>65</v>
      </c>
      <c r="C24" s="10" t="s">
        <v>74</v>
      </c>
      <c r="D24" s="10" t="str">
        <f>IF(C24=$B$1,"Success","Failure")</f>
        <v>Failure</v>
      </c>
      <c r="E24" s="10">
        <v>9</v>
      </c>
    </row>
    <row r="25" spans="1:5" x14ac:dyDescent="0.25">
      <c r="A25" s="25" t="s">
        <v>99</v>
      </c>
      <c r="B25" s="10" t="s">
        <v>66</v>
      </c>
      <c r="C25" s="10" t="s">
        <v>74</v>
      </c>
      <c r="D25" s="10" t="str">
        <f>IF(C25=$B$1,"Success","Failure")</f>
        <v>Failure</v>
      </c>
      <c r="E25" s="10">
        <v>9</v>
      </c>
    </row>
    <row r="26" spans="1:5" x14ac:dyDescent="0.25">
      <c r="A26" s="31" t="s">
        <v>100</v>
      </c>
      <c r="B26" s="9" t="s">
        <v>58</v>
      </c>
      <c r="C26" s="9" t="s">
        <v>54</v>
      </c>
      <c r="D26" s="9" t="str">
        <f>IF(C26=$B$1,"Success","Failure")</f>
        <v>Success</v>
      </c>
      <c r="E26" s="9">
        <v>1</v>
      </c>
    </row>
    <row r="27" spans="1:5" x14ac:dyDescent="0.25">
      <c r="A27" s="31" t="s">
        <v>101</v>
      </c>
      <c r="B27" s="9" t="s">
        <v>58</v>
      </c>
      <c r="C27" s="9" t="s">
        <v>54</v>
      </c>
      <c r="D27" s="9" t="str">
        <f>IF(C27=$B$1,"Success","Failure")</f>
        <v>Success</v>
      </c>
      <c r="E27" s="9">
        <v>1</v>
      </c>
    </row>
    <row r="28" spans="1:5" x14ac:dyDescent="0.25">
      <c r="A28" s="31" t="s">
        <v>102</v>
      </c>
      <c r="B28" s="9" t="s">
        <v>54</v>
      </c>
      <c r="C28" s="9" t="s">
        <v>54</v>
      </c>
      <c r="D28" s="9" t="str">
        <f>IF(C28=$B$1,"Success","Failure")</f>
        <v>Success</v>
      </c>
      <c r="E28" s="9">
        <v>0</v>
      </c>
    </row>
    <row r="29" spans="1:5" x14ac:dyDescent="0.25">
      <c r="A29" s="31" t="s">
        <v>103</v>
      </c>
      <c r="B29" s="9" t="s">
        <v>54</v>
      </c>
      <c r="C29" s="9" t="s">
        <v>54</v>
      </c>
      <c r="D29" s="9" t="str">
        <f>IF(C29=$B$1,"Success","Failure")</f>
        <v>Success</v>
      </c>
      <c r="E29" s="9">
        <v>0</v>
      </c>
    </row>
    <row r="30" spans="1:5" x14ac:dyDescent="0.25">
      <c r="A30" s="31" t="s">
        <v>104</v>
      </c>
      <c r="B30" s="9" t="s">
        <v>57</v>
      </c>
      <c r="C30" s="9" t="s">
        <v>54</v>
      </c>
      <c r="D30" s="9" t="str">
        <f>IF(C30=$B$1,"Success","Failure")</f>
        <v>Success</v>
      </c>
      <c r="E30" s="9">
        <v>1</v>
      </c>
    </row>
    <row r="31" spans="1:5" x14ac:dyDescent="0.25">
      <c r="A31" s="31" t="s">
        <v>105</v>
      </c>
      <c r="B31" s="9" t="s">
        <v>59</v>
      </c>
      <c r="C31" s="9" t="s">
        <v>54</v>
      </c>
      <c r="D31" s="9" t="str">
        <f>IF(C31=$B$1,"Success","Failure")</f>
        <v>Success</v>
      </c>
      <c r="E31" s="9">
        <v>2</v>
      </c>
    </row>
    <row r="32" spans="1:5" x14ac:dyDescent="0.25">
      <c r="A32" s="31" t="s">
        <v>106</v>
      </c>
      <c r="B32" s="9" t="s">
        <v>58</v>
      </c>
      <c r="C32" s="9" t="s">
        <v>54</v>
      </c>
      <c r="D32" s="9" t="str">
        <f>IF(C32=$B$1,"Success","Failure")</f>
        <v>Success</v>
      </c>
      <c r="E32" s="9">
        <v>1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5B1E9-7B1F-4BC3-9503-01F589155C74}">
  <dimension ref="A1:E31"/>
  <sheetViews>
    <sheetView zoomScaleNormal="100" workbookViewId="0">
      <selection activeCell="J14" sqref="J14"/>
    </sheetView>
  </sheetViews>
  <sheetFormatPr defaultRowHeight="15" x14ac:dyDescent="0.25"/>
  <cols>
    <col min="1" max="1" width="18.5703125" bestFit="1" customWidth="1"/>
    <col min="2" max="5" width="19.7109375" customWidth="1"/>
  </cols>
  <sheetData>
    <row r="1" spans="1:5" x14ac:dyDescent="0.25">
      <c r="A1" s="2" t="s">
        <v>109</v>
      </c>
      <c r="B1" s="11" t="s">
        <v>43</v>
      </c>
      <c r="C1" s="12"/>
      <c r="D1" s="12"/>
      <c r="E1" s="12"/>
    </row>
    <row r="2" spans="1:5" x14ac:dyDescent="0.25">
      <c r="A2" s="1" t="s">
        <v>117</v>
      </c>
      <c r="B2" s="13" t="s">
        <v>0</v>
      </c>
      <c r="C2" s="13" t="s">
        <v>72</v>
      </c>
      <c r="D2" s="13" t="s">
        <v>73</v>
      </c>
      <c r="E2" s="13" t="s">
        <v>75</v>
      </c>
    </row>
    <row r="3" spans="1:5" x14ac:dyDescent="0.25">
      <c r="A3" s="3" t="s">
        <v>77</v>
      </c>
      <c r="B3" s="8" t="s">
        <v>45</v>
      </c>
      <c r="C3" s="8" t="s">
        <v>43</v>
      </c>
      <c r="D3" s="8" t="str">
        <f>IF(C3=$B$1,"Success","Failure")</f>
        <v>Success</v>
      </c>
      <c r="E3" s="8">
        <v>1</v>
      </c>
    </row>
    <row r="4" spans="1:5" x14ac:dyDescent="0.25">
      <c r="A4" s="3" t="s">
        <v>78</v>
      </c>
      <c r="B4" s="32" t="s">
        <v>45</v>
      </c>
      <c r="C4" s="8" t="s">
        <v>43</v>
      </c>
      <c r="D4" s="8" t="str">
        <f>IF(C4=$B$1,"Success","Failure")</f>
        <v>Success</v>
      </c>
      <c r="E4" s="8">
        <v>1</v>
      </c>
    </row>
    <row r="5" spans="1:5" x14ac:dyDescent="0.25">
      <c r="A5" s="3" t="s">
        <v>79</v>
      </c>
      <c r="B5" s="32" t="s">
        <v>46</v>
      </c>
      <c r="C5" s="8" t="s">
        <v>43</v>
      </c>
      <c r="D5" s="8" t="str">
        <f>IF(C5=$B$1,"Success","Failure")</f>
        <v>Success</v>
      </c>
      <c r="E5" s="8">
        <v>2</v>
      </c>
    </row>
    <row r="6" spans="1:5" x14ac:dyDescent="0.25">
      <c r="A6" s="3" t="s">
        <v>80</v>
      </c>
      <c r="B6" s="8" t="s">
        <v>46</v>
      </c>
      <c r="C6" s="8" t="s">
        <v>43</v>
      </c>
      <c r="D6" s="8" t="str">
        <f>IF(C6=$B$1,"Success","Failure")</f>
        <v>Success</v>
      </c>
      <c r="E6" s="8">
        <v>2</v>
      </c>
    </row>
    <row r="7" spans="1:5" x14ac:dyDescent="0.25">
      <c r="A7" s="3" t="s">
        <v>81</v>
      </c>
      <c r="B7" s="8" t="s">
        <v>45</v>
      </c>
      <c r="C7" s="8" t="s">
        <v>43</v>
      </c>
      <c r="D7" s="8" t="str">
        <f>IF(C7=$B$1,"Success","Failure")</f>
        <v>Success</v>
      </c>
      <c r="E7" s="8">
        <v>1</v>
      </c>
    </row>
    <row r="8" spans="1:5" x14ac:dyDescent="0.25">
      <c r="A8" s="3" t="s">
        <v>82</v>
      </c>
      <c r="B8" s="8" t="s">
        <v>46</v>
      </c>
      <c r="C8" s="8" t="s">
        <v>43</v>
      </c>
      <c r="D8" s="8" t="str">
        <f>IF(C8=$B$1,"Success","Failure")</f>
        <v>Success</v>
      </c>
      <c r="E8" s="8">
        <v>2</v>
      </c>
    </row>
    <row r="9" spans="1:5" x14ac:dyDescent="0.25">
      <c r="A9" s="3" t="s">
        <v>83</v>
      </c>
      <c r="B9" s="8" t="s">
        <v>46</v>
      </c>
      <c r="C9" s="8" t="s">
        <v>43</v>
      </c>
      <c r="D9" s="8" t="str">
        <f>IF(C9=$B$1,"Success","Failure")</f>
        <v>Success</v>
      </c>
      <c r="E9" s="8">
        <v>2</v>
      </c>
    </row>
    <row r="10" spans="1:5" x14ac:dyDescent="0.25">
      <c r="A10" s="3" t="s">
        <v>84</v>
      </c>
      <c r="B10" s="33" t="s">
        <v>46</v>
      </c>
      <c r="C10" s="8" t="s">
        <v>43</v>
      </c>
      <c r="D10" s="8" t="str">
        <f>IF(C10=$B$1,"Success","Failure")</f>
        <v>Success</v>
      </c>
      <c r="E10" s="8">
        <v>2</v>
      </c>
    </row>
    <row r="11" spans="1:5" x14ac:dyDescent="0.25">
      <c r="A11" s="3" t="s">
        <v>85</v>
      </c>
      <c r="B11" s="8" t="s">
        <v>45</v>
      </c>
      <c r="C11" s="8" t="s">
        <v>43</v>
      </c>
      <c r="D11" s="8" t="str">
        <f>IF(C11=$B$1,"Success","Failure")</f>
        <v>Success</v>
      </c>
      <c r="E11" s="8">
        <v>1</v>
      </c>
    </row>
    <row r="12" spans="1:5" x14ac:dyDescent="0.25">
      <c r="A12" s="3" t="s">
        <v>86</v>
      </c>
      <c r="B12" s="32" t="s">
        <v>46</v>
      </c>
      <c r="C12" s="8" t="s">
        <v>43</v>
      </c>
      <c r="D12" s="8" t="str">
        <f>IF(C12=$B$1,"Success","Failure")</f>
        <v>Success</v>
      </c>
      <c r="E12" s="8">
        <v>2</v>
      </c>
    </row>
    <row r="13" spans="1:5" x14ac:dyDescent="0.25">
      <c r="A13" s="3" t="s">
        <v>87</v>
      </c>
      <c r="B13" s="32" t="s">
        <v>46</v>
      </c>
      <c r="C13" s="8" t="s">
        <v>43</v>
      </c>
      <c r="D13" s="8" t="str">
        <f>IF(C13=$B$1,"Success","Failure")</f>
        <v>Success</v>
      </c>
      <c r="E13" s="8">
        <v>2</v>
      </c>
    </row>
    <row r="14" spans="1:5" x14ac:dyDescent="0.25">
      <c r="A14" s="3" t="s">
        <v>88</v>
      </c>
      <c r="B14" s="32" t="s">
        <v>45</v>
      </c>
      <c r="C14" s="8" t="s">
        <v>43</v>
      </c>
      <c r="D14" s="8" t="str">
        <f>IF(C14=$B$1,"Success","Failure")</f>
        <v>Success</v>
      </c>
      <c r="E14" s="8">
        <v>1</v>
      </c>
    </row>
    <row r="15" spans="1:5" x14ac:dyDescent="0.25">
      <c r="A15" s="3" t="s">
        <v>89</v>
      </c>
      <c r="B15" s="32" t="s">
        <v>45</v>
      </c>
      <c r="C15" s="8" t="s">
        <v>43</v>
      </c>
      <c r="D15" s="8" t="str">
        <f>IF(C15=$B$1,"Success","Failure")</f>
        <v>Success</v>
      </c>
      <c r="E15" s="8">
        <v>1</v>
      </c>
    </row>
    <row r="16" spans="1:5" x14ac:dyDescent="0.25">
      <c r="A16" s="3" t="s">
        <v>90</v>
      </c>
      <c r="B16" s="8" t="s">
        <v>45</v>
      </c>
      <c r="C16" s="8" t="s">
        <v>43</v>
      </c>
      <c r="D16" s="8" t="str">
        <f>IF(C16=$B$1,"Success","Failure")</f>
        <v>Success</v>
      </c>
      <c r="E16" s="8">
        <v>1</v>
      </c>
    </row>
    <row r="17" spans="1:5" x14ac:dyDescent="0.25">
      <c r="A17" s="3" t="s">
        <v>91</v>
      </c>
      <c r="B17" s="8" t="s">
        <v>46</v>
      </c>
      <c r="C17" s="8" t="s">
        <v>43</v>
      </c>
      <c r="D17" s="8" t="str">
        <f>IF(C17=$B$1,"Success","Failure")</f>
        <v>Success</v>
      </c>
      <c r="E17" s="8">
        <v>2</v>
      </c>
    </row>
    <row r="18" spans="1:5" x14ac:dyDescent="0.25">
      <c r="A18" s="3" t="s">
        <v>92</v>
      </c>
      <c r="B18" s="8" t="s">
        <v>48</v>
      </c>
      <c r="C18" s="8" t="s">
        <v>43</v>
      </c>
      <c r="D18" s="8" t="str">
        <f>IF(C18=$B$1,"Success","Failure")</f>
        <v>Success</v>
      </c>
      <c r="E18" s="8">
        <v>3</v>
      </c>
    </row>
    <row r="19" spans="1:5" x14ac:dyDescent="0.25">
      <c r="A19" s="3" t="s">
        <v>93</v>
      </c>
      <c r="B19" s="8" t="s">
        <v>49</v>
      </c>
      <c r="C19" s="8" t="s">
        <v>43</v>
      </c>
      <c r="D19" s="8" t="str">
        <f>IF(C19=$B$1,"Success","Failure")</f>
        <v>Success</v>
      </c>
      <c r="E19" s="8">
        <v>4</v>
      </c>
    </row>
    <row r="20" spans="1:5" x14ac:dyDescent="0.25">
      <c r="A20" s="3" t="s">
        <v>94</v>
      </c>
      <c r="B20" s="8" t="s">
        <v>50</v>
      </c>
      <c r="C20" s="8" t="s">
        <v>43</v>
      </c>
      <c r="D20" s="8" t="str">
        <f>IF(C20=$B$1,"Success","Failure")</f>
        <v>Success</v>
      </c>
      <c r="E20" s="8">
        <v>4</v>
      </c>
    </row>
    <row r="21" spans="1:5" x14ac:dyDescent="0.25">
      <c r="A21" s="3" t="s">
        <v>95</v>
      </c>
      <c r="B21" s="8" t="s">
        <v>51</v>
      </c>
      <c r="C21" s="8" t="s">
        <v>43</v>
      </c>
      <c r="D21" s="8" t="str">
        <f>IF(C21=$B$1,"Success","Failure")</f>
        <v>Success</v>
      </c>
      <c r="E21" s="8">
        <v>5</v>
      </c>
    </row>
    <row r="22" spans="1:5" x14ac:dyDescent="0.25">
      <c r="A22" s="3" t="s">
        <v>96</v>
      </c>
      <c r="B22" s="8" t="s">
        <v>50</v>
      </c>
      <c r="C22" s="8" t="s">
        <v>43</v>
      </c>
      <c r="D22" s="8" t="str">
        <f>IF(C22=$B$1,"Success","Failure")</f>
        <v>Success</v>
      </c>
      <c r="E22" s="8">
        <v>4</v>
      </c>
    </row>
    <row r="23" spans="1:5" x14ac:dyDescent="0.25">
      <c r="A23" s="3" t="s">
        <v>97</v>
      </c>
      <c r="B23" s="8" t="s">
        <v>52</v>
      </c>
      <c r="C23" s="8" t="s">
        <v>43</v>
      </c>
      <c r="D23" s="8" t="str">
        <f>IF(C23=$B$1,"Success","Failure")</f>
        <v>Success</v>
      </c>
      <c r="E23" s="8">
        <v>2</v>
      </c>
    </row>
    <row r="24" spans="1:5" x14ac:dyDescent="0.25">
      <c r="A24" s="3" t="s">
        <v>98</v>
      </c>
      <c r="B24" s="8" t="s">
        <v>47</v>
      </c>
      <c r="C24" s="8" t="s">
        <v>43</v>
      </c>
      <c r="D24" s="8" t="str">
        <f>IF(C24=$B$1,"Success","Failure")</f>
        <v>Success</v>
      </c>
      <c r="E24" s="8">
        <v>5</v>
      </c>
    </row>
    <row r="25" spans="1:5" x14ac:dyDescent="0.25">
      <c r="A25" s="3" t="s">
        <v>99</v>
      </c>
      <c r="B25" s="8" t="s">
        <v>46</v>
      </c>
      <c r="C25" s="8" t="s">
        <v>43</v>
      </c>
      <c r="D25" s="8" t="str">
        <f>IF(C25=$B$1,"Success","Failure")</f>
        <v>Success</v>
      </c>
      <c r="E25" s="8">
        <v>2</v>
      </c>
    </row>
    <row r="26" spans="1:5" x14ac:dyDescent="0.25">
      <c r="A26" s="3" t="s">
        <v>100</v>
      </c>
      <c r="B26" s="8" t="s">
        <v>45</v>
      </c>
      <c r="C26" s="8" t="s">
        <v>43</v>
      </c>
      <c r="D26" s="8" t="str">
        <f>IF(C26=$B$1,"Success","Failure")</f>
        <v>Success</v>
      </c>
      <c r="E26" s="8">
        <v>1</v>
      </c>
    </row>
    <row r="27" spans="1:5" x14ac:dyDescent="0.25">
      <c r="A27" s="3" t="s">
        <v>101</v>
      </c>
      <c r="B27" s="8" t="s">
        <v>45</v>
      </c>
      <c r="C27" s="8" t="s">
        <v>43</v>
      </c>
      <c r="D27" s="8" t="str">
        <f>IF(C27=$B$1,"Success","Failure")</f>
        <v>Success</v>
      </c>
      <c r="E27" s="8">
        <v>1</v>
      </c>
    </row>
    <row r="28" spans="1:5" x14ac:dyDescent="0.25">
      <c r="A28" s="3" t="s">
        <v>102</v>
      </c>
      <c r="B28" s="8" t="s">
        <v>45</v>
      </c>
      <c r="C28" s="8" t="s">
        <v>43</v>
      </c>
      <c r="D28" s="8" t="str">
        <f>IF(C28=$B$1,"Success","Failure")</f>
        <v>Success</v>
      </c>
      <c r="E28" s="8">
        <v>1</v>
      </c>
    </row>
    <row r="29" spans="1:5" x14ac:dyDescent="0.25">
      <c r="A29" s="3" t="s">
        <v>103</v>
      </c>
      <c r="B29" s="8" t="s">
        <v>45</v>
      </c>
      <c r="C29" s="8" t="s">
        <v>43</v>
      </c>
      <c r="D29" s="8" t="str">
        <f>IF(C29=$B$1,"Success","Failure")</f>
        <v>Success</v>
      </c>
      <c r="E29" s="8">
        <v>1</v>
      </c>
    </row>
    <row r="30" spans="1:5" x14ac:dyDescent="0.25">
      <c r="A30" s="3" t="s">
        <v>104</v>
      </c>
      <c r="B30" s="8" t="s">
        <v>45</v>
      </c>
      <c r="C30" s="8" t="s">
        <v>43</v>
      </c>
      <c r="D30" s="8" t="str">
        <f>IF(C30=$B$1,"Success","Failure")</f>
        <v>Success</v>
      </c>
      <c r="E30" s="8">
        <v>1</v>
      </c>
    </row>
    <row r="31" spans="1:5" x14ac:dyDescent="0.25">
      <c r="A31" s="3" t="s">
        <v>105</v>
      </c>
      <c r="B31" s="8" t="s">
        <v>45</v>
      </c>
      <c r="C31" s="8" t="s">
        <v>43</v>
      </c>
      <c r="D31" s="8" t="str">
        <f>IF(C31=$B$1,"Success","Failure")</f>
        <v>Success</v>
      </c>
      <c r="E31" s="8">
        <v>1</v>
      </c>
    </row>
  </sheetData>
  <mergeCells count="1">
    <mergeCell ref="B1:E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CD1E4-A4CE-4DD2-A30A-CDCAA42489B3}">
  <dimension ref="A1:E12"/>
  <sheetViews>
    <sheetView zoomScaleNormal="100" workbookViewId="0">
      <selection activeCell="E25" sqref="E25"/>
    </sheetView>
  </sheetViews>
  <sheetFormatPr defaultRowHeight="15" x14ac:dyDescent="0.25"/>
  <cols>
    <col min="1" max="1" width="18.140625" customWidth="1"/>
    <col min="2" max="4" width="19.42578125" customWidth="1"/>
    <col min="5" max="5" width="19.42578125" style="6" customWidth="1"/>
  </cols>
  <sheetData>
    <row r="1" spans="1:5" x14ac:dyDescent="0.25">
      <c r="A1" s="2" t="s">
        <v>109</v>
      </c>
      <c r="B1" s="34" t="s">
        <v>68</v>
      </c>
      <c r="C1" s="34"/>
      <c r="D1" s="34"/>
      <c r="E1" s="34"/>
    </row>
    <row r="2" spans="1:5" x14ac:dyDescent="0.25">
      <c r="A2" s="1" t="s">
        <v>118</v>
      </c>
      <c r="B2" s="15" t="s">
        <v>0</v>
      </c>
      <c r="C2" s="15" t="s">
        <v>72</v>
      </c>
      <c r="D2" s="15" t="s">
        <v>73</v>
      </c>
      <c r="E2" s="15" t="s">
        <v>75</v>
      </c>
    </row>
    <row r="3" spans="1:5" x14ac:dyDescent="0.25">
      <c r="A3" s="3" t="s">
        <v>77</v>
      </c>
      <c r="B3" s="9" t="s">
        <v>68</v>
      </c>
      <c r="C3" s="9" t="s">
        <v>68</v>
      </c>
      <c r="D3" s="9" t="str">
        <f>IF(C3=$B$1,"Success","Failure")</f>
        <v>Success</v>
      </c>
      <c r="E3" s="9">
        <v>0</v>
      </c>
    </row>
    <row r="4" spans="1:5" x14ac:dyDescent="0.25">
      <c r="A4" s="3" t="s">
        <v>78</v>
      </c>
      <c r="B4" s="26" t="s">
        <v>68</v>
      </c>
      <c r="C4" s="9" t="s">
        <v>68</v>
      </c>
      <c r="D4" s="9" t="str">
        <f>IF(C4=$B$1,"Success","Failure")</f>
        <v>Success</v>
      </c>
      <c r="E4" s="9">
        <v>0</v>
      </c>
    </row>
    <row r="5" spans="1:5" x14ac:dyDescent="0.25">
      <c r="A5" s="3" t="s">
        <v>79</v>
      </c>
      <c r="B5" s="26" t="s">
        <v>68</v>
      </c>
      <c r="C5" s="9" t="s">
        <v>68</v>
      </c>
      <c r="D5" s="9" t="str">
        <f>IF(C5=$B$1,"Success","Failure")</f>
        <v>Success</v>
      </c>
      <c r="E5" s="9">
        <v>0</v>
      </c>
    </row>
    <row r="6" spans="1:5" x14ac:dyDescent="0.25">
      <c r="A6" s="3" t="s">
        <v>80</v>
      </c>
      <c r="B6" s="9" t="s">
        <v>69</v>
      </c>
      <c r="C6" s="9" t="s">
        <v>68</v>
      </c>
      <c r="D6" s="9" t="str">
        <f>IF(C6=$B$1,"Success","Failure")</f>
        <v>Success</v>
      </c>
      <c r="E6" s="9">
        <v>1</v>
      </c>
    </row>
    <row r="7" spans="1:5" x14ac:dyDescent="0.25">
      <c r="A7" s="3" t="s">
        <v>81</v>
      </c>
      <c r="B7" s="9" t="s">
        <v>69</v>
      </c>
      <c r="C7" s="9" t="s">
        <v>68</v>
      </c>
      <c r="D7" s="9" t="str">
        <f>IF(C7=$B$1,"Success","Failure")</f>
        <v>Success</v>
      </c>
      <c r="E7" s="9">
        <v>1</v>
      </c>
    </row>
    <row r="8" spans="1:5" x14ac:dyDescent="0.25">
      <c r="A8" s="3" t="s">
        <v>82</v>
      </c>
      <c r="B8" s="9" t="s">
        <v>70</v>
      </c>
      <c r="C8" s="9" t="s">
        <v>68</v>
      </c>
      <c r="D8" s="9" t="str">
        <f>IF(C8=$B$1,"Success","Failure")</f>
        <v>Success</v>
      </c>
      <c r="E8" s="9">
        <v>3</v>
      </c>
    </row>
    <row r="9" spans="1:5" x14ac:dyDescent="0.25">
      <c r="A9" s="3" t="s">
        <v>83</v>
      </c>
      <c r="B9" s="9" t="s">
        <v>71</v>
      </c>
      <c r="C9" s="9" t="s">
        <v>68</v>
      </c>
      <c r="D9" s="9" t="str">
        <f>IF(C9=$B$1,"Success","Failure")</f>
        <v>Success</v>
      </c>
      <c r="E9" s="9">
        <v>3</v>
      </c>
    </row>
    <row r="10" spans="1:5" x14ac:dyDescent="0.25">
      <c r="A10" s="3" t="s">
        <v>84</v>
      </c>
      <c r="B10" s="9" t="s">
        <v>70</v>
      </c>
      <c r="C10" s="9" t="s">
        <v>68</v>
      </c>
      <c r="D10" s="9" t="str">
        <f>IF(C10=$B$1,"Success","Failure")</f>
        <v>Success</v>
      </c>
      <c r="E10" s="9">
        <v>3</v>
      </c>
    </row>
    <row r="11" spans="1:5" x14ac:dyDescent="0.25">
      <c r="A11" s="3" t="s">
        <v>85</v>
      </c>
      <c r="B11" s="27" t="s">
        <v>70</v>
      </c>
      <c r="C11" s="9" t="s">
        <v>68</v>
      </c>
      <c r="D11" s="9" t="str">
        <f>IF(C11=$B$1,"Success","Failure")</f>
        <v>Success</v>
      </c>
      <c r="E11" s="9">
        <v>3</v>
      </c>
    </row>
    <row r="12" spans="1:5" x14ac:dyDescent="0.25">
      <c r="A12" s="3" t="s">
        <v>86</v>
      </c>
      <c r="B12" s="9" t="s">
        <v>70</v>
      </c>
      <c r="C12" s="9" t="s">
        <v>68</v>
      </c>
      <c r="D12" s="9" t="str">
        <f>IF(C12=$B$1,"Success","Failure")</f>
        <v>Success</v>
      </c>
      <c r="E12" s="9">
        <v>3</v>
      </c>
    </row>
  </sheetData>
  <mergeCells count="1">
    <mergeCell ref="B1: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F91F8-0A06-4C9F-9870-64BD23BD6107}">
  <dimension ref="A1:C12"/>
  <sheetViews>
    <sheetView tabSelected="1" zoomScaleNormal="100" workbookViewId="0">
      <selection activeCell="I28" sqref="I28"/>
    </sheetView>
  </sheetViews>
  <sheetFormatPr defaultRowHeight="15" x14ac:dyDescent="0.25"/>
  <cols>
    <col min="1" max="1" width="20.42578125" bestFit="1" customWidth="1"/>
    <col min="2" max="3" width="16.28515625" customWidth="1"/>
    <col min="4" max="4" width="12.5703125" customWidth="1"/>
    <col min="6" max="6" width="10" bestFit="1" customWidth="1"/>
  </cols>
  <sheetData>
    <row r="1" spans="1:3" x14ac:dyDescent="0.25">
      <c r="A1" s="15" t="s">
        <v>120</v>
      </c>
      <c r="B1" s="13" t="s">
        <v>111</v>
      </c>
      <c r="C1" s="13" t="s">
        <v>119</v>
      </c>
    </row>
    <row r="2" spans="1:3" x14ac:dyDescent="0.25">
      <c r="A2" s="8">
        <v>99</v>
      </c>
      <c r="B2" s="8">
        <v>5</v>
      </c>
      <c r="C2" s="8">
        <v>94</v>
      </c>
    </row>
    <row r="3" spans="1:3" x14ac:dyDescent="0.25">
      <c r="A3" s="14"/>
      <c r="B3" s="14"/>
      <c r="C3" s="14"/>
    </row>
    <row r="4" spans="1:3" x14ac:dyDescent="0.25">
      <c r="A4" s="15" t="s">
        <v>110</v>
      </c>
      <c r="B4" s="13" t="s">
        <v>113</v>
      </c>
      <c r="C4" s="13" t="s">
        <v>112</v>
      </c>
    </row>
    <row r="5" spans="1:3" x14ac:dyDescent="0.25">
      <c r="A5" s="16" t="s">
        <v>42</v>
      </c>
      <c r="B5" s="8">
        <v>18</v>
      </c>
      <c r="C5" s="8">
        <v>1</v>
      </c>
    </row>
    <row r="6" spans="1:3" x14ac:dyDescent="0.25">
      <c r="A6" s="16" t="s">
        <v>44</v>
      </c>
      <c r="B6" s="8">
        <v>29</v>
      </c>
      <c r="C6" s="8">
        <v>0</v>
      </c>
    </row>
    <row r="7" spans="1:3" x14ac:dyDescent="0.25">
      <c r="A7" s="16" t="s">
        <v>53</v>
      </c>
      <c r="B7" s="8">
        <v>23</v>
      </c>
      <c r="C7" s="8">
        <v>7</v>
      </c>
    </row>
    <row r="8" spans="1:3" x14ac:dyDescent="0.25">
      <c r="A8" s="16" t="s">
        <v>67</v>
      </c>
      <c r="B8" s="8">
        <v>10</v>
      </c>
      <c r="C8" s="8">
        <v>0</v>
      </c>
    </row>
    <row r="9" spans="1:3" x14ac:dyDescent="0.25">
      <c r="A9" s="16" t="s">
        <v>76</v>
      </c>
      <c r="B9" s="8">
        <v>4</v>
      </c>
      <c r="C9" s="8">
        <v>2</v>
      </c>
    </row>
    <row r="10" spans="1:3" x14ac:dyDescent="0.25">
      <c r="A10" s="17"/>
      <c r="B10" s="18"/>
      <c r="C10" s="19"/>
    </row>
    <row r="11" spans="1:3" x14ac:dyDescent="0.25">
      <c r="A11" s="16" t="s">
        <v>107</v>
      </c>
      <c r="B11" s="8">
        <f xml:space="preserve"> SUM(B5:B9)</f>
        <v>84</v>
      </c>
      <c r="C11" s="8">
        <f>SUM(C5:C9)</f>
        <v>10</v>
      </c>
    </row>
    <row r="12" spans="1:3" x14ac:dyDescent="0.25">
      <c r="A12" s="16" t="s">
        <v>108</v>
      </c>
      <c r="B12" s="20">
        <f xml:space="preserve"> B11/(B11+C11)</f>
        <v>0.8936170212765957</v>
      </c>
      <c r="C12" s="21">
        <f xml:space="preserve"> C11/(B11+C11)</f>
        <v>0.10638297872340426</v>
      </c>
    </row>
  </sheetData>
  <mergeCells count="2">
    <mergeCell ref="A3:C3"/>
    <mergeCell ref="A10:C10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Lenna</vt:lpstr>
      <vt:lpstr>Washington</vt:lpstr>
      <vt:lpstr>Palace</vt:lpstr>
      <vt:lpstr>Mountain</vt:lpstr>
      <vt:lpstr>ParkDatabase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Joao Rafael Goncalves Evangelista</cp:lastModifiedBy>
  <dcterms:created xsi:type="dcterms:W3CDTF">2015-06-05T18:19:34Z</dcterms:created>
  <dcterms:modified xsi:type="dcterms:W3CDTF">2026-09-08T16:43:03Z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2026-09-08T16:35:26Z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c6e528f4-aa2d-4ded-b628-1f0901586f72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